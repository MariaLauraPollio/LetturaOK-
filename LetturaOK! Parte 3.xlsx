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lenovo\Documents\esercizi epicode\Esercizi svolti primo modulo\"/>
    </mc:Choice>
  </mc:AlternateContent>
  <xr:revisionPtr revIDLastSave="0" documentId="8_{CBCF8B38-F332-4DDD-BFF2-50A9C1C6F165}" xr6:coauthVersionLast="47" xr6:coauthVersionMax="47" xr10:uidLastSave="{00000000-0000-0000-0000-000000000000}"/>
  <bookViews>
    <workbookView xWindow="-120" yWindow="-120" windowWidth="20730" windowHeight="11040" activeTab="1" xr2:uid="{C66A2941-9322-4B1A-A75C-7AC474ACC850}"/>
  </bookViews>
  <sheets>
    <sheet name="Catalogo &amp; Registro" sheetId="1" r:id="rId1"/>
    <sheet name="Ricerca per titolo" sheetId="5" r:id="rId2"/>
    <sheet name="Database utenti tesserati" sheetId="3" r:id="rId3"/>
    <sheet name="Database dipendenti" sheetId="4" r:id="rId4"/>
  </sheets>
  <definedNames>
    <definedName name="_xlnm._FilterDatabase" localSheetId="0" hidden="1">'Catalogo &amp; Registro'!$A$2:$Q$10</definedName>
    <definedName name="_xlnm._FilterDatabase" localSheetId="3" hidden="1">'Database dipendenti'!$A$2:$G$12</definedName>
    <definedName name="_xlnm._FilterDatabase" localSheetId="2" hidden="1">'Database utenti tesserati'!$A$2:$G$12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5" l="1"/>
  <c r="G7" i="5"/>
  <c r="N4" i="1"/>
  <c r="N5" i="1"/>
  <c r="N6" i="1"/>
  <c r="N7" i="1"/>
  <c r="N8" i="1"/>
  <c r="N9" i="1"/>
  <c r="N10" i="1"/>
  <c r="N3" i="1"/>
  <c r="P3" i="1"/>
  <c r="P5" i="1"/>
  <c r="P6" i="1"/>
  <c r="P7" i="1"/>
  <c r="P8" i="1"/>
  <c r="P9" i="1"/>
  <c r="P10" i="1"/>
  <c r="P4" i="1"/>
  <c r="I7" i="5"/>
  <c r="J7" i="5"/>
  <c r="H7" i="5"/>
  <c r="E7" i="5"/>
  <c r="D7" i="5"/>
  <c r="C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tc={F7A87387-C81E-4C09-9E4A-06CC3781BB52}</author>
    <author>tc={9A8E7C73-7A5E-4B2A-B7E1-3BE3180DC306}</author>
  </authors>
  <commentList>
    <comment ref="N2" authorId="0" shapeId="0" xr:uid="{F7A87387-C81E-4C09-9E4A-06CC3781BB52}">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Volevo eliminare gli 0 aggiungendo una funzione SE, perché questa formula non funziona?
=SE(M3=="";"";CERCA.X(M3;'database utenti tesserati'!C3:C12;'database utenti tesserati'!B3:B12))</t>
      </text>
    </comment>
    <comment ref="J10" authorId="1" shapeId="0" xr:uid="{9A8E7C73-7A5E-4B2A-B7E1-3BE3180DC30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Il numero indica il ripiano, la lettera lo scaffale. La posizione espressa in scaffali e ripiani si integra con la classificazione DDC (quella più usata nelle biblioteche) che idealmente potrebbe già suddividere la biblioteca per ambienti. Il codice  800 sta ad indicare la classe "letteratura e narrativa".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tc={CBD84FB8-3FD7-44B4-9901-8C71B5FF2217}</author>
    <author>tc={6198BB59-415D-403A-A784-FBA38BCFC49A}</author>
    <author>tc={EA975565-6298-4E2B-84C5-45AD25D010A2}</author>
  </authors>
  <commentList>
    <comment ref="B5" authorId="0" shapeId="0" xr:uid="{CBD84FB8-3FD7-44B4-9901-8C71B5FF221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Come classi ho pensato di inserire solo le classi utili per l'interazione col cliente, e per ricercare il volume all'interno della biblioteca.</t>
      </text>
    </comment>
    <comment ref="B7" authorId="1" shapeId="0" xr:uid="{6198BB59-415D-403A-A784-FBA38BCFC49A}">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 questo caso ho inserito un menù a tendina perché i libri nel catalogo sono pochi ed è più semplice fare una ricerca in questo modo. Dovrei ancora capire come risolvere il problema nel caso in cui fossero presenti più libri diversi con lo stesso titolo (es. Inferno di Dante Alighieri o Dan Brown)</t>
      </text>
    </comment>
    <comment ref="F7" authorId="2" shapeId="0" xr:uid="{EA975565-6298-4E2B-84C5-45AD25D010A2}">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tc={D37E2087-42DE-486E-BF10-384B57F5C2F9}</author>
  </authors>
  <commentList>
    <comment ref="A1" authorId="0" shapeId="0" xr:uid="{D37E2087-42DE-486E-BF10-384B57F5C2F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Mi piacerebbe richiamare per ogni utente una scheda personale. All'interno della quale inserire una sorta di storico: quale libri ha preso in prestito? Ha consegnato in ritardo? Percentuale di ritardi nella riconsegna? Ha un libro in prestito o in consultazione in questo momento?
Stessa cosa fare per i libri in catalogo e per i dipendenti?</t>
      </text>
    </comment>
  </commentList>
</comments>
</file>

<file path=xl/sharedStrings.xml><?xml version="1.0" encoding="utf-8"?>
<sst xmlns="http://schemas.openxmlformats.org/spreadsheetml/2006/main" count="212" uniqueCount="155">
  <si>
    <t>titolo</t>
  </si>
  <si>
    <t>autore</t>
  </si>
  <si>
    <t>casa editrice</t>
  </si>
  <si>
    <t>isbn</t>
  </si>
  <si>
    <t>num di pagine</t>
  </si>
  <si>
    <t>lingua</t>
  </si>
  <si>
    <t>anno di pubblicazione</t>
  </si>
  <si>
    <t>classificazione DDC</t>
  </si>
  <si>
    <t>stato</t>
  </si>
  <si>
    <t>La ragazza sul treno</t>
  </si>
  <si>
    <t>La solitudine dei numeri primi</t>
  </si>
  <si>
    <t>Io prima di te</t>
  </si>
  <si>
    <t>ll rumore dei tuoi passi</t>
  </si>
  <si>
    <t>Paula Hawkins</t>
  </si>
  <si>
    <t>Paolo Giordano</t>
  </si>
  <si>
    <t>Markus Zusk</t>
  </si>
  <si>
    <t>Joel Dicker</t>
  </si>
  <si>
    <t>Joseph Roth</t>
  </si>
  <si>
    <t>Jojo Moyes</t>
  </si>
  <si>
    <t>Dan Brown</t>
  </si>
  <si>
    <t>Valentina D'Urbano</t>
  </si>
  <si>
    <t>Italiano</t>
  </si>
  <si>
    <t>Piemme</t>
  </si>
  <si>
    <t>Età di lettura</t>
  </si>
  <si>
    <t>in prestito</t>
  </si>
  <si>
    <t>Mondadori</t>
  </si>
  <si>
    <t>Sperling &amp; Kupfer</t>
  </si>
  <si>
    <t>La nave di Teseo</t>
  </si>
  <si>
    <t>Adelphi</t>
  </si>
  <si>
    <t>TEA</t>
  </si>
  <si>
    <t>disponibile</t>
  </si>
  <si>
    <t>16 +</t>
  </si>
  <si>
    <t>16+</t>
  </si>
  <si>
    <t>14+</t>
  </si>
  <si>
    <t>Giovanni Rossi</t>
  </si>
  <si>
    <t>Laura Bianchi</t>
  </si>
  <si>
    <t>Marco Russo</t>
  </si>
  <si>
    <t xml:space="preserve"> Sara Esposito</t>
  </si>
  <si>
    <t>Luca Martini</t>
  </si>
  <si>
    <t>Valentina Ferrari</t>
  </si>
  <si>
    <t>Andrea Moretti</t>
  </si>
  <si>
    <t>Elena Romano</t>
  </si>
  <si>
    <t>ID Utente</t>
  </si>
  <si>
    <t>Alessandro Conti</t>
  </si>
  <si>
    <t>Federica Rizzo</t>
  </si>
  <si>
    <t>U00673</t>
  </si>
  <si>
    <t>U00356</t>
  </si>
  <si>
    <t>U00019</t>
  </si>
  <si>
    <t>U00325</t>
  </si>
  <si>
    <t>U00734</t>
  </si>
  <si>
    <t>U00812</t>
  </si>
  <si>
    <t>U00495</t>
  </si>
  <si>
    <t>U00248</t>
  </si>
  <si>
    <t>U00908</t>
  </si>
  <si>
    <t>U00492</t>
  </si>
  <si>
    <t>nome e cognome</t>
  </si>
  <si>
    <t>identificativo utente</t>
  </si>
  <si>
    <t>data di nascita</t>
  </si>
  <si>
    <t>domicilio</t>
  </si>
  <si>
    <t>email</t>
  </si>
  <si>
    <t>codice ficscale</t>
  </si>
  <si>
    <t>recapito telefonico</t>
  </si>
  <si>
    <t>giovanni.rossi@gmail.com</t>
  </si>
  <si>
    <t>laura.bianchi@gmail.com</t>
  </si>
  <si>
    <t>marco.russo@gmail.com</t>
  </si>
  <si>
    <t>sara.esposito@gmail.com</t>
  </si>
  <si>
    <t>luca.martini@gmail.com</t>
  </si>
  <si>
    <t>valentina.ferrari@gmail.com</t>
  </si>
  <si>
    <t>andrea.moretti@gmail.com</t>
  </si>
  <si>
    <t>elena.romano@gmail.com</t>
  </si>
  <si>
    <t>alessandro.conti@gmail.com</t>
  </si>
  <si>
    <t>federica.rizzo@gmail.com</t>
  </si>
  <si>
    <t>RSSGNN80A01L219F</t>
  </si>
  <si>
    <t>BNCLRA95E46A944V</t>
  </si>
  <si>
    <t>MRCRSS90E06B180M</t>
  </si>
  <si>
    <t>Corso Italia, 1</t>
  </si>
  <si>
    <t>Corso Italia, 2</t>
  </si>
  <si>
    <t>Corso Italia, 3</t>
  </si>
  <si>
    <t>Corso Italia, 4</t>
  </si>
  <si>
    <t>Corso Italia, 5</t>
  </si>
  <si>
    <t>Corso Italia, 6</t>
  </si>
  <si>
    <t>Corso Italia, 7</t>
  </si>
  <si>
    <t>Corso Italia, 8</t>
  </si>
  <si>
    <t>Corso Italia, 9</t>
  </si>
  <si>
    <t>Corso Italia, 10</t>
  </si>
  <si>
    <t>SPSTSR99R63M939T</t>
  </si>
  <si>
    <t>MRTNLC99R63M939T</t>
  </si>
  <si>
    <t>FRRVLN99R63M939T</t>
  </si>
  <si>
    <t>MRTNDR99R63M939T</t>
  </si>
  <si>
    <t>RMNLLN99R63M939T</t>
  </si>
  <si>
    <t>CNTLSS99R63M939T</t>
  </si>
  <si>
    <t>RZZFDR99R63M939T</t>
  </si>
  <si>
    <t>Posizione</t>
  </si>
  <si>
    <t>2A</t>
  </si>
  <si>
    <t>4A</t>
  </si>
  <si>
    <t>10A</t>
  </si>
  <si>
    <t>1B</t>
  </si>
  <si>
    <t>3Z</t>
  </si>
  <si>
    <t>7A</t>
  </si>
  <si>
    <t>12B</t>
  </si>
  <si>
    <t>9A</t>
  </si>
  <si>
    <t>Alessia Rossi</t>
  </si>
  <si>
    <t>Matteo Bianchi</t>
  </si>
  <si>
    <t>Chiara Esposito</t>
  </si>
  <si>
    <t>Luca Russo</t>
  </si>
  <si>
    <t>Martina Conti</t>
  </si>
  <si>
    <t>Marco Marino</t>
  </si>
  <si>
    <t>Federico Colombo</t>
  </si>
  <si>
    <t>Giulia Fiore</t>
  </si>
  <si>
    <t>Giovanni De Luca</t>
  </si>
  <si>
    <t>D00492</t>
  </si>
  <si>
    <t>D00908</t>
  </si>
  <si>
    <t>D00673</t>
  </si>
  <si>
    <t>D00356</t>
  </si>
  <si>
    <t>D00019</t>
  </si>
  <si>
    <t>D00325</t>
  </si>
  <si>
    <t>D00734</t>
  </si>
  <si>
    <t>D00812</t>
  </si>
  <si>
    <t>D00495</t>
  </si>
  <si>
    <t>D00248</t>
  </si>
  <si>
    <t>alessia.rossi@letturaok.it</t>
  </si>
  <si>
    <t>matteo.bianchi@letturaok.it</t>
  </si>
  <si>
    <t>chiara.esposito@letturaok.it</t>
  </si>
  <si>
    <t>luca.russo@letturaok.it</t>
  </si>
  <si>
    <t>martina.conti@letturaok.it</t>
  </si>
  <si>
    <t>marco.marino@letturaok.it</t>
  </si>
  <si>
    <t>elena.romano@letturaok.it</t>
  </si>
  <si>
    <t>federico.colombo@letturaok.it</t>
  </si>
  <si>
    <t>giulia.fiore@letturaok.it</t>
  </si>
  <si>
    <t>giovanni.luca@letturaok.it</t>
  </si>
  <si>
    <t>Database Utenti</t>
  </si>
  <si>
    <t>Database dipendenti</t>
  </si>
  <si>
    <t>Strumento di ricerca per titolo</t>
  </si>
  <si>
    <t>Titolo</t>
  </si>
  <si>
    <t>Autore</t>
  </si>
  <si>
    <t>Lingue</t>
  </si>
  <si>
    <t>Stato</t>
  </si>
  <si>
    <t>Classificazione DDC</t>
  </si>
  <si>
    <t xml:space="preserve">La presenza di filtri consente, già in questa sezione, una prima fase di ricerca, ad esempio  per fascia di età, stato, autore, per nunero di pagine (maggiore/minore di…), genere o anche, più realisticamente, una combinazione di fattori. Per quanto riguarda il titolo del libro, quest'ultimo, nella maggioranza dei casi è univoco e la ricerca di un volume, per titolo, utilizzando i filtri di ricerca potrebbe risultare complessa. Per questo motivo  ho pensato di inserire, in un'altra pagina della cartella di lavoro uno strumento di ricerca per titolo, utilizzando la funzione CERCA.X. </t>
  </si>
  <si>
    <t>ID Operatore</t>
  </si>
  <si>
    <t>Genere</t>
  </si>
  <si>
    <t>inizio prestito</t>
  </si>
  <si>
    <t>fine prestito</t>
  </si>
  <si>
    <t>Codice Fiscale</t>
  </si>
  <si>
    <t>Catalogo Libri</t>
  </si>
  <si>
    <t>Registro prestiti</t>
  </si>
  <si>
    <t>In questo caso ci sono due chiavi di lettura primarie, il codice fiscale e l'ID Utente. Questi due attributi sono rindondanti, tuttavia potrebbe essere più semplice per gli utenti della biblioteca ricordare il loro codice fiscale piuttosto che il loro ID. Mentre ai fini dell'analisi potrebbe essere più immediato utilizzare un ID Utente piuttosto rispetto al codice fiscale.</t>
  </si>
  <si>
    <t>Storia di una ladra di libri</t>
  </si>
  <si>
    <t>La verità sul caso di Harry Quebert</t>
  </si>
  <si>
    <t>La leggenda del santo bevitore</t>
  </si>
  <si>
    <t xml:space="preserve">Inferno </t>
  </si>
  <si>
    <t>In questo database la chiave di lettura primaria è il codice isbn, mentre la colonna ID utente, codice fiscale e ID Operatore sono chiavi di lettura esterne.</t>
  </si>
  <si>
    <t>L'ID operatore è selezionabile da un menù a tendina collegato alla colonna ID Operatore del foglio 'database dipendenti'. La colonna 'ID utente' è un cerca x, che si appoggia al foglio 'database utenti'. La colonna 'fine prestito' si ottiene in automatico aggiungendo alla colonna inizio prestito 30 g. Ho inserito, in questo caso, una funzione se affinche la somma avvenga solo quando la colonna 'inizio prestito' non è vuota.</t>
  </si>
  <si>
    <t>Inizio prestito</t>
  </si>
  <si>
    <t>Fine prestito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</si>
</sst>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8"/>
      <name val="Calibri"/>
      <family val="2"/>
      <scheme val="minor"/>
    </font>
    <font>
      <b/>
      <sz val="14"/>
      <color rgb="FF00B050"/>
      <name val="Calibri"/>
      <family val="2"/>
      <scheme val="minor"/>
    </font>
    <font>
      <i/>
      <sz val="11"/>
      <color theme="1"/>
      <name val="Calibri"/>
      <family val="2"/>
      <scheme val="minor"/>
    </font>
    <font>
      <sz val="9"/>
      <color indexed="81"/>
      <name val="Tahoma"/>
      <charset val="1"/>
    </font>
    <font>
      <b/>
      <sz val="14"/>
      <color theme="5" tint="-0.249977111117893"/>
      <name val="Calibri"/>
      <family val="2"/>
      <scheme val="minor"/>
    </font>
    <font>
      <sz val="9"/>
      <color indexed="81"/>
      <name val="Tahoma"/>
      <family val="2"/>
    </font>
    <font>
      <b/>
      <sz val="14"/>
      <color theme="3" tint="-0.499984740745262"/>
      <name val="Calibri"/>
      <family val="2"/>
      <scheme val="minor"/>
    </font>
    <font>
      <b/>
      <sz val="14"/>
      <color theme="1"/>
      <name val="Calibri"/>
      <family val="2"/>
      <scheme val="minor"/>
    </font>
    <font>
      <sz val="11"/>
      <color rgb="FFC00000"/>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theme="9"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ck">
        <color rgb="FF00B050"/>
      </left>
      <right/>
      <top style="thick">
        <color rgb="FF00B050"/>
      </top>
      <bottom/>
      <diagonal/>
    </border>
    <border>
      <left/>
      <right/>
      <top style="thick">
        <color rgb="FF00B050"/>
      </top>
      <bottom/>
      <diagonal/>
    </border>
    <border>
      <left/>
      <right style="thick">
        <color rgb="FF00B050"/>
      </right>
      <top style="thick">
        <color rgb="FF00B050"/>
      </top>
      <bottom/>
      <diagonal/>
    </border>
    <border>
      <left style="thick">
        <color rgb="FF00B050"/>
      </left>
      <right/>
      <top/>
      <bottom/>
      <diagonal/>
    </border>
    <border>
      <left/>
      <right style="thick">
        <color rgb="FF00B050"/>
      </right>
      <top/>
      <bottom/>
      <diagonal/>
    </border>
    <border>
      <left style="thick">
        <color rgb="FF00B050"/>
      </left>
      <right/>
      <top/>
      <bottom style="thick">
        <color rgb="FF00B050"/>
      </bottom>
      <diagonal/>
    </border>
    <border>
      <left/>
      <right/>
      <top/>
      <bottom style="thick">
        <color rgb="FF00B050"/>
      </bottom>
      <diagonal/>
    </border>
    <border>
      <left/>
      <right style="thick">
        <color rgb="FF00B050"/>
      </right>
      <top/>
      <bottom style="thick">
        <color rgb="FF00B05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2">
    <xf numFmtId="0" fontId="0" fillId="0" borderId="0"/>
    <xf numFmtId="0" fontId="3" fillId="0" borderId="0" applyNumberFormat="0" applyFill="0" applyBorder="0" applyAlignment="0" applyProtection="0"/>
  </cellStyleXfs>
  <cellXfs count="51">
    <xf numFmtId="0" fontId="0" fillId="0" borderId="0" xfId="0"/>
    <xf numFmtId="0" fontId="0" fillId="0" borderId="0" xfId="0" applyAlignment="1">
      <alignment horizontal="center"/>
    </xf>
    <xf numFmtId="49" fontId="0" fillId="0" borderId="0" xfId="0" applyNumberFormat="1"/>
    <xf numFmtId="49" fontId="0" fillId="0" borderId="1" xfId="0" applyNumberFormat="1" applyBorder="1"/>
    <xf numFmtId="0" fontId="0" fillId="0" borderId="1" xfId="0" applyBorder="1"/>
    <xf numFmtId="49" fontId="0" fillId="2" borderId="1" xfId="0" applyNumberFormat="1" applyFill="1" applyBorder="1"/>
    <xf numFmtId="0" fontId="0" fillId="2" borderId="1" xfId="0" applyFill="1" applyBorder="1"/>
    <xf numFmtId="0" fontId="0" fillId="0" borderId="1" xfId="0" applyBorder="1" applyAlignment="1">
      <alignment horizontal="right"/>
    </xf>
    <xf numFmtId="0" fontId="0" fillId="0" borderId="0" xfId="0" applyBorder="1"/>
    <xf numFmtId="0" fontId="2" fillId="0" borderId="1" xfId="0" applyFont="1" applyBorder="1"/>
    <xf numFmtId="0" fontId="2" fillId="5" borderId="8" xfId="0" applyFont="1" applyFill="1" applyBorder="1"/>
    <xf numFmtId="0" fontId="2" fillId="4" borderId="3" xfId="0" applyFont="1" applyFill="1" applyBorder="1" applyAlignment="1">
      <alignment horizontal="center"/>
    </xf>
    <xf numFmtId="0" fontId="2" fillId="4" borderId="4" xfId="0" applyFont="1" applyFill="1" applyBorder="1" applyAlignment="1">
      <alignment horizontal="center"/>
    </xf>
    <xf numFmtId="49" fontId="1" fillId="3" borderId="1" xfId="0" applyNumberFormat="1" applyFont="1" applyFill="1" applyBorder="1"/>
    <xf numFmtId="0" fontId="1" fillId="3" borderId="1" xfId="0" applyFont="1" applyFill="1" applyBorder="1"/>
    <xf numFmtId="0" fontId="1" fillId="0" borderId="0" xfId="0" applyFont="1"/>
    <xf numFmtId="0" fontId="0" fillId="6" borderId="0" xfId="0" applyFill="1"/>
    <xf numFmtId="0" fontId="1" fillId="6" borderId="0" xfId="0" applyFont="1" applyFill="1"/>
    <xf numFmtId="49" fontId="0" fillId="6" borderId="0" xfId="0" applyNumberFormat="1" applyFill="1" applyBorder="1" applyAlignment="1">
      <alignment horizontal="center" vertical="center" wrapText="1"/>
    </xf>
    <xf numFmtId="49" fontId="0" fillId="6" borderId="10" xfId="0" applyNumberFormat="1" applyFill="1" applyBorder="1" applyAlignment="1">
      <alignment horizontal="center" vertical="center" wrapText="1"/>
    </xf>
    <xf numFmtId="49" fontId="0" fillId="6" borderId="11" xfId="0" applyNumberFormat="1" applyFill="1" applyBorder="1" applyAlignment="1">
      <alignment horizontal="center" vertical="center" wrapText="1"/>
    </xf>
    <xf numFmtId="49" fontId="0" fillId="6" borderId="12" xfId="0" applyNumberFormat="1" applyFill="1" applyBorder="1" applyAlignment="1">
      <alignment horizontal="center" vertical="center" wrapText="1"/>
    </xf>
    <xf numFmtId="49" fontId="0" fillId="6" borderId="13" xfId="0" applyNumberFormat="1" applyFill="1" applyBorder="1" applyAlignment="1">
      <alignment horizontal="center" vertical="center" wrapText="1"/>
    </xf>
    <xf numFmtId="49" fontId="0" fillId="6" borderId="14" xfId="0" applyNumberFormat="1" applyFill="1" applyBorder="1" applyAlignment="1">
      <alignment horizontal="center" vertical="center" wrapText="1"/>
    </xf>
    <xf numFmtId="49" fontId="0" fillId="6" borderId="15" xfId="0" applyNumberFormat="1" applyFill="1" applyBorder="1" applyAlignment="1">
      <alignment horizontal="center" vertical="center" wrapText="1"/>
    </xf>
    <xf numFmtId="49" fontId="0" fillId="6" borderId="16" xfId="0" applyNumberFormat="1" applyFill="1" applyBorder="1" applyAlignment="1">
      <alignment horizontal="center" vertical="center" wrapText="1"/>
    </xf>
    <xf numFmtId="49" fontId="0" fillId="6" borderId="17" xfId="0" applyNumberFormat="1" applyFill="1" applyBorder="1" applyAlignment="1">
      <alignment horizontal="center" vertical="center" wrapText="1"/>
    </xf>
    <xf numFmtId="0" fontId="8" fillId="0" borderId="1" xfId="0" applyFont="1" applyBorder="1" applyAlignment="1">
      <alignment horizontal="center"/>
    </xf>
    <xf numFmtId="0" fontId="0" fillId="8" borderId="1" xfId="0" applyFill="1" applyBorder="1"/>
    <xf numFmtId="14" fontId="0" fillId="2" borderId="1" xfId="0" applyNumberFormat="1" applyFill="1" applyBorder="1"/>
    <xf numFmtId="0" fontId="3" fillId="2" borderId="1" xfId="1" applyFill="1" applyBorder="1"/>
    <xf numFmtId="14" fontId="0" fillId="0" borderId="1" xfId="0" applyNumberFormat="1" applyBorder="1"/>
    <xf numFmtId="0" fontId="3" fillId="0" borderId="1" xfId="1" applyBorder="1"/>
    <xf numFmtId="0" fontId="0" fillId="0" borderId="18" xfId="0" applyBorder="1"/>
    <xf numFmtId="0" fontId="0" fillId="6" borderId="18" xfId="0" applyFill="1" applyBorder="1"/>
    <xf numFmtId="0" fontId="0" fillId="0" borderId="19" xfId="0" applyBorder="1"/>
    <xf numFmtId="0" fontId="0" fillId="6" borderId="19" xfId="0" applyFill="1" applyBorder="1"/>
    <xf numFmtId="0" fontId="10" fillId="0" borderId="1" xfId="0" applyFont="1" applyBorder="1" applyAlignment="1">
      <alignment horizontal="center"/>
    </xf>
    <xf numFmtId="0" fontId="1" fillId="7" borderId="1" xfId="0" applyFont="1" applyFill="1" applyBorder="1"/>
    <xf numFmtId="0" fontId="11" fillId="4" borderId="2" xfId="0" applyFont="1" applyFill="1" applyBorder="1" applyAlignment="1">
      <alignment horizontal="center"/>
    </xf>
    <xf numFmtId="0" fontId="2" fillId="0" borderId="9" xfId="0" applyFont="1" applyBorder="1"/>
    <xf numFmtId="0" fontId="6" fillId="0" borderId="6" xfId="0" applyFont="1" applyBorder="1"/>
    <xf numFmtId="0" fontId="6" fillId="0" borderId="7" xfId="0" applyFont="1" applyBorder="1"/>
    <xf numFmtId="0" fontId="6" fillId="5" borderId="5" xfId="0" applyFont="1" applyFill="1" applyBorder="1"/>
    <xf numFmtId="0" fontId="12" fillId="2" borderId="1" xfId="0" applyFont="1" applyFill="1" applyBorder="1"/>
    <xf numFmtId="14" fontId="0" fillId="6" borderId="1" xfId="0" applyNumberFormat="1" applyFill="1" applyBorder="1"/>
    <xf numFmtId="0" fontId="12" fillId="6" borderId="1" xfId="0" applyFont="1" applyFill="1" applyBorder="1"/>
    <xf numFmtId="0" fontId="0" fillId="0" borderId="0" xfId="0" applyAlignment="1">
      <alignment horizontal="center" vertical="center" wrapText="1"/>
    </xf>
    <xf numFmtId="0" fontId="5" fillId="0" borderId="1" xfId="0" applyFont="1" applyBorder="1" applyAlignment="1">
      <alignment horizontal="center"/>
    </xf>
    <xf numFmtId="0" fontId="5" fillId="9" borderId="1" xfId="0" applyFont="1" applyFill="1" applyBorder="1" applyAlignment="1">
      <alignment horizontal="center"/>
    </xf>
    <xf numFmtId="14" fontId="6" fillId="0" borderId="6" xfId="0" applyNumberFormat="1" applyFont="1" applyBorder="1"/>
  </cellXfs>
  <cellStyles count="2">
    <cellStyle name="Collegamento ipertestuale" xfId="1" builtinId="8"/>
    <cellStyle name="Normale" xfId="0" builtinId="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aria Laura Pollio" id="{1AA4BE93-BAF5-4542-8F41-B31F42C56F9C}" userId="ee1adc66983a8336" providerId="Windows Live"/>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2" dT="2023-06-19T10:49:37.76" personId="{1AA4BE93-BAF5-4542-8F41-B31F42C56F9C}" id="{F7A87387-C81E-4C09-9E4A-06CC3781BB52}">
    <text>Volevo eliminare gli 0 aggiungendo una funzione SE, perché questa formula non funziona?
=SE(M3=="";"";CERCA.X(M3;'database utenti tesserati'!C3:C12;'database utenti tesserati'!B3:B12))</text>
  </threadedComment>
  <threadedComment ref="J10" dT="2023-06-19T09:39:19.89" personId="{1AA4BE93-BAF5-4542-8F41-B31F42C56F9C}" id="{9A8E7C73-7A5E-4B2A-B7E1-3BE3180DC306}">
    <text>Il numero indica il ripiano, la lettera lo scaffale. La posizione espressa in scaffali e ripiani si integra con la classificazione DDC (quella più usata nelle biblioteche) che idealmente potrebbe già suddividere la biblioteca per ambienti. Il codice  800 sta ad indicare la classe "letteratura e narrativa".</text>
  </threadedComment>
</ThreadedComments>
</file>

<file path=xl/threadedComments/threadedComment2.xml><?xml version="1.0" encoding="utf-8"?>
<ThreadedComments xmlns="http://schemas.microsoft.com/office/spreadsheetml/2018/threadedcomments" xmlns:x="http://schemas.openxmlformats.org/spreadsheetml/2006/main">
  <threadedComment ref="B5" dT="2023-06-19T09:43:26.94" personId="{1AA4BE93-BAF5-4542-8F41-B31F42C56F9C}" id="{CBD84FB8-3FD7-44B4-9901-8C71B5FF2217}">
    <text>Come classi ho pensato di inserire solo le classi utili per l'interazione col cliente, e per ricercare il volume all'interno della biblioteca.</text>
  </threadedComment>
  <threadedComment ref="B7" dT="2023-06-19T09:41:47.70" personId="{1AA4BE93-BAF5-4542-8F41-B31F42C56F9C}" id="{6198BB59-415D-403A-A784-FBA38BCFC49A}">
    <text>In questo caso ho inserito un menù a tendina perché i libri nel catalogo sono pochi ed è più semplice fare una ricerca in questo modo. Dovrei ancora capire come risolvere il problema nel caso in cui fossero presenti più libri diversi con lo stesso titolo (es. Inferno di Dante Alighieri o Dan Brown)</text>
  </threadedComment>
  <threadedComment ref="F7" dT="2023-06-19T11:12:04.29" personId="{1AA4BE93-BAF5-4542-8F41-B31F42C56F9C}" id="{EA975565-6298-4E2B-84C5-45AD25D010A2}">
    <text>?</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3-06-19T09:51:15.17" personId="{1AA4BE93-BAF5-4542-8F41-B31F42C56F9C}" id="{D37E2087-42DE-486E-BF10-384B57F5C2F9}">
    <text>Mi piacerebbe richiamare per ogni utente una scheda personale. All'interno della quale inserire una sorta di storico: quale libri ha preso in prestito? Ha consegnato in ritardo? Percentuale di ritardi nella riconsegna? Ha un libro in prestito o in consultazione in questo momento?
Stessa cosa fare per i libri in catalogo e per i dipendenti?</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mailto:elena.romano@gmail.com" TargetMode="External"/><Relationship Id="rId13" Type="http://schemas.openxmlformats.org/officeDocument/2006/relationships/comments" Target="../comments3.xml"/><Relationship Id="rId3" Type="http://schemas.openxmlformats.org/officeDocument/2006/relationships/hyperlink" Target="mailto:marco.russo@gmail.com" TargetMode="External"/><Relationship Id="rId7" Type="http://schemas.openxmlformats.org/officeDocument/2006/relationships/hyperlink" Target="mailto:andrea.moretti@gmail.com" TargetMode="External"/><Relationship Id="rId12" Type="http://schemas.openxmlformats.org/officeDocument/2006/relationships/vmlDrawing" Target="../drawings/vmlDrawing3.vml"/><Relationship Id="rId2" Type="http://schemas.openxmlformats.org/officeDocument/2006/relationships/hyperlink" Target="mailto:laura.bianchi@gmail.com" TargetMode="External"/><Relationship Id="rId1" Type="http://schemas.openxmlformats.org/officeDocument/2006/relationships/hyperlink" Target="mailto:giovanni.rossi@gmail.com" TargetMode="External"/><Relationship Id="rId6" Type="http://schemas.openxmlformats.org/officeDocument/2006/relationships/hyperlink" Target="mailto:valentina.ferrari@gmail.com" TargetMode="External"/><Relationship Id="rId11" Type="http://schemas.openxmlformats.org/officeDocument/2006/relationships/printerSettings" Target="../printerSettings/printerSettings2.bin"/><Relationship Id="rId5" Type="http://schemas.openxmlformats.org/officeDocument/2006/relationships/hyperlink" Target="mailto:luca.martini@gmail.com" TargetMode="External"/><Relationship Id="rId10" Type="http://schemas.openxmlformats.org/officeDocument/2006/relationships/hyperlink" Target="mailto:federica.rizzo@gmail.com" TargetMode="External"/><Relationship Id="rId4" Type="http://schemas.openxmlformats.org/officeDocument/2006/relationships/hyperlink" Target="mailto:sara.esposito@gmail.com" TargetMode="External"/><Relationship Id="rId9" Type="http://schemas.openxmlformats.org/officeDocument/2006/relationships/hyperlink" Target="mailto:alessandro.conti@gmail.com" TargetMode="External"/><Relationship Id="rId1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8" Type="http://schemas.openxmlformats.org/officeDocument/2006/relationships/hyperlink" Target="mailto:federico.colombo@letturaok.it" TargetMode="External"/><Relationship Id="rId3" Type="http://schemas.openxmlformats.org/officeDocument/2006/relationships/hyperlink" Target="mailto:chiara.esposito@letturaok.it" TargetMode="External"/><Relationship Id="rId7" Type="http://schemas.openxmlformats.org/officeDocument/2006/relationships/hyperlink" Target="mailto:elena.romano@letturaok.it" TargetMode="External"/><Relationship Id="rId2" Type="http://schemas.openxmlformats.org/officeDocument/2006/relationships/hyperlink" Target="mailto:matteo.bianchi@letturaok.it" TargetMode="External"/><Relationship Id="rId1" Type="http://schemas.openxmlformats.org/officeDocument/2006/relationships/hyperlink" Target="mailto:alessia.rossi@letturaok.it" TargetMode="External"/><Relationship Id="rId6" Type="http://schemas.openxmlformats.org/officeDocument/2006/relationships/hyperlink" Target="mailto:marco.marino@letturaok.it" TargetMode="External"/><Relationship Id="rId11" Type="http://schemas.openxmlformats.org/officeDocument/2006/relationships/printerSettings" Target="../printerSettings/printerSettings3.bin"/><Relationship Id="rId5" Type="http://schemas.openxmlformats.org/officeDocument/2006/relationships/hyperlink" Target="mailto:martina.conti@letturaok.it" TargetMode="External"/><Relationship Id="rId10" Type="http://schemas.openxmlformats.org/officeDocument/2006/relationships/hyperlink" Target="mailto:giovanni.luca@letturaok.it" TargetMode="External"/><Relationship Id="rId4" Type="http://schemas.openxmlformats.org/officeDocument/2006/relationships/hyperlink" Target="mailto:luca.russo@letturaok.it" TargetMode="External"/><Relationship Id="rId9" Type="http://schemas.openxmlformats.org/officeDocument/2006/relationships/hyperlink" Target="mailto:giulia.fiore@letturaok.i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45579-DF09-4C27-A689-E7EE74A34479}">
  <dimension ref="A1:R23"/>
  <sheetViews>
    <sheetView topLeftCell="F1" workbookViewId="0">
      <selection activeCell="L14" sqref="L14"/>
    </sheetView>
  </sheetViews>
  <sheetFormatPr defaultRowHeight="15" x14ac:dyDescent="0.25"/>
  <cols>
    <col min="1" max="1" width="31.28515625" style="2" bestFit="1" customWidth="1"/>
    <col min="2" max="2" width="24" bestFit="1" customWidth="1"/>
    <col min="3" max="3" width="16.7109375" bestFit="1" customWidth="1"/>
    <col min="4" max="4" width="12" bestFit="1" customWidth="1"/>
    <col min="5" max="5" width="13.7109375" bestFit="1" customWidth="1"/>
    <col min="7" max="7" width="20.7109375" bestFit="1" customWidth="1"/>
    <col min="8" max="8" width="20.7109375" customWidth="1"/>
    <col min="9" max="9" width="14.140625" bestFit="1" customWidth="1"/>
    <col min="10" max="10" width="14.140625" customWidth="1"/>
    <col min="11" max="11" width="18.140625" bestFit="1" customWidth="1"/>
    <col min="12" max="12" width="11" bestFit="1" customWidth="1"/>
    <col min="13" max="13" width="19.42578125" bestFit="1" customWidth="1"/>
    <col min="14" max="14" width="11.85546875" bestFit="1" customWidth="1"/>
    <col min="15" max="15" width="13.42578125" bestFit="1" customWidth="1"/>
    <col min="16" max="16" width="12" bestFit="1" customWidth="1"/>
    <col min="17" max="17" width="12.42578125" bestFit="1" customWidth="1"/>
  </cols>
  <sheetData>
    <row r="1" spans="1:18" ht="18.75" x14ac:dyDescent="0.3">
      <c r="A1" s="48" t="s">
        <v>144</v>
      </c>
      <c r="B1" s="48"/>
      <c r="C1" s="48"/>
      <c r="D1" s="48"/>
      <c r="E1" s="48"/>
      <c r="F1" s="48"/>
      <c r="G1" s="48"/>
      <c r="H1" s="48"/>
      <c r="I1" s="48"/>
      <c r="J1" s="48"/>
      <c r="K1" s="48"/>
      <c r="L1" s="49" t="s">
        <v>145</v>
      </c>
      <c r="M1" s="49"/>
      <c r="N1" s="49"/>
      <c r="O1" s="49"/>
      <c r="P1" s="49"/>
      <c r="Q1" s="49"/>
    </row>
    <row r="2" spans="1:18" s="15" customFormat="1" x14ac:dyDescent="0.25">
      <c r="A2" s="13" t="s">
        <v>0</v>
      </c>
      <c r="B2" s="14" t="s">
        <v>1</v>
      </c>
      <c r="C2" s="14" t="s">
        <v>2</v>
      </c>
      <c r="D2" s="14" t="s">
        <v>3</v>
      </c>
      <c r="E2" s="14" t="s">
        <v>4</v>
      </c>
      <c r="F2" s="14" t="s">
        <v>5</v>
      </c>
      <c r="G2" s="14" t="s">
        <v>6</v>
      </c>
      <c r="H2" s="14" t="s">
        <v>140</v>
      </c>
      <c r="I2" s="14" t="s">
        <v>23</v>
      </c>
      <c r="J2" s="14" t="s">
        <v>92</v>
      </c>
      <c r="K2" s="14" t="s">
        <v>7</v>
      </c>
      <c r="L2" s="14" t="s">
        <v>8</v>
      </c>
      <c r="M2" s="14" t="s">
        <v>143</v>
      </c>
      <c r="N2" s="14" t="s">
        <v>42</v>
      </c>
      <c r="O2" s="14" t="s">
        <v>141</v>
      </c>
      <c r="P2" s="14" t="s">
        <v>142</v>
      </c>
      <c r="Q2" s="14" t="s">
        <v>139</v>
      </c>
    </row>
    <row r="3" spans="1:18" s="16" customFormat="1" x14ac:dyDescent="0.25">
      <c r="A3" s="5" t="s">
        <v>9</v>
      </c>
      <c r="B3" s="6" t="s">
        <v>13</v>
      </c>
      <c r="C3" s="6" t="s">
        <v>22</v>
      </c>
      <c r="D3" s="6">
        <v>8856637774</v>
      </c>
      <c r="E3" s="6">
        <v>306</v>
      </c>
      <c r="F3" s="6" t="s">
        <v>21</v>
      </c>
      <c r="G3" s="6">
        <v>2015</v>
      </c>
      <c r="H3" s="6"/>
      <c r="I3" s="6" t="s">
        <v>31</v>
      </c>
      <c r="J3" s="6" t="s">
        <v>93</v>
      </c>
      <c r="K3" s="6">
        <v>800</v>
      </c>
      <c r="L3" s="6" t="s">
        <v>24</v>
      </c>
      <c r="M3" s="6" t="s">
        <v>72</v>
      </c>
      <c r="N3" s="44" t="str">
        <f>_xlfn.XLOOKUP(M3,'Database utenti tesserati'!C3:C12,'Database utenti tesserati'!B3:B12)</f>
        <v>U00492</v>
      </c>
      <c r="O3" s="29">
        <v>45079</v>
      </c>
      <c r="P3" s="29">
        <f>IF(O3="","",O3+30)</f>
        <v>45109</v>
      </c>
      <c r="Q3" s="6" t="s">
        <v>110</v>
      </c>
    </row>
    <row r="4" spans="1:18" x14ac:dyDescent="0.25">
      <c r="A4" s="3" t="s">
        <v>10</v>
      </c>
      <c r="B4" s="4" t="s">
        <v>14</v>
      </c>
      <c r="C4" s="4" t="s">
        <v>25</v>
      </c>
      <c r="D4" s="4">
        <v>8804666639</v>
      </c>
      <c r="E4" s="4">
        <v>304</v>
      </c>
      <c r="F4" s="4" t="s">
        <v>21</v>
      </c>
      <c r="G4" s="7">
        <v>2016</v>
      </c>
      <c r="H4" s="7"/>
      <c r="I4" s="4" t="s">
        <v>32</v>
      </c>
      <c r="J4" s="4" t="s">
        <v>94</v>
      </c>
      <c r="K4" s="4">
        <v>800</v>
      </c>
      <c r="L4" s="4" t="s">
        <v>30</v>
      </c>
      <c r="M4" s="4"/>
      <c r="N4" s="46">
        <f>_xlfn.XLOOKUP(M4,'Database utenti tesserati'!C4:C13,'Database utenti tesserati'!B4:B13)</f>
        <v>0</v>
      </c>
      <c r="O4" s="31"/>
      <c r="P4" s="45" t="str">
        <f>IF(O4="","",O4+30)</f>
        <v/>
      </c>
      <c r="Q4" s="4"/>
    </row>
    <row r="5" spans="1:18" x14ac:dyDescent="0.25">
      <c r="A5" s="5" t="s">
        <v>147</v>
      </c>
      <c r="B5" s="6" t="s">
        <v>15</v>
      </c>
      <c r="C5" s="6" t="s">
        <v>26</v>
      </c>
      <c r="D5" s="6">
        <v>8868364948</v>
      </c>
      <c r="E5" s="6">
        <v>565</v>
      </c>
      <c r="F5" s="6" t="s">
        <v>21</v>
      </c>
      <c r="G5" s="6">
        <v>2019</v>
      </c>
      <c r="H5" s="6"/>
      <c r="I5" s="6" t="s">
        <v>33</v>
      </c>
      <c r="J5" s="6" t="s">
        <v>95</v>
      </c>
      <c r="K5" s="6">
        <v>800</v>
      </c>
      <c r="L5" s="4" t="s">
        <v>30</v>
      </c>
      <c r="M5" s="6"/>
      <c r="N5" s="44">
        <f>_xlfn.XLOOKUP(M5,'Database utenti tesserati'!C5:C14,'Database utenti tesserati'!B5:B14)</f>
        <v>0</v>
      </c>
      <c r="O5" s="29"/>
      <c r="P5" s="29" t="str">
        <f t="shared" ref="P5:P10" si="0">IF(O5="","",O5+30)</f>
        <v/>
      </c>
      <c r="Q5" s="6"/>
    </row>
    <row r="6" spans="1:18" x14ac:dyDescent="0.25">
      <c r="A6" s="3" t="s">
        <v>148</v>
      </c>
      <c r="B6" s="4" t="s">
        <v>16</v>
      </c>
      <c r="C6" s="4" t="s">
        <v>27</v>
      </c>
      <c r="D6" s="4">
        <v>8834611853</v>
      </c>
      <c r="E6" s="4">
        <v>702</v>
      </c>
      <c r="F6" s="4" t="s">
        <v>21</v>
      </c>
      <c r="G6" s="4">
        <v>2022</v>
      </c>
      <c r="H6" s="4"/>
      <c r="I6" s="4" t="s">
        <v>32</v>
      </c>
      <c r="J6" s="4" t="s">
        <v>96</v>
      </c>
      <c r="K6" s="4">
        <v>800</v>
      </c>
      <c r="L6" s="4" t="s">
        <v>24</v>
      </c>
      <c r="M6" s="4" t="s">
        <v>86</v>
      </c>
      <c r="N6" s="46" t="str">
        <f>_xlfn.XLOOKUP(M6,'Database utenti tesserati'!C6:C15,'Database utenti tesserati'!B6:B15)</f>
        <v>U00019</v>
      </c>
      <c r="O6" s="31">
        <v>45073</v>
      </c>
      <c r="P6" s="45">
        <f t="shared" si="0"/>
        <v>45103</v>
      </c>
      <c r="Q6" s="4" t="s">
        <v>119</v>
      </c>
    </row>
    <row r="7" spans="1:18" x14ac:dyDescent="0.25">
      <c r="A7" s="5" t="s">
        <v>149</v>
      </c>
      <c r="B7" s="6" t="s">
        <v>17</v>
      </c>
      <c r="C7" s="6" t="s">
        <v>28</v>
      </c>
      <c r="D7" s="6">
        <v>8845901714</v>
      </c>
      <c r="E7" s="6">
        <v>74</v>
      </c>
      <c r="F7" s="6" t="s">
        <v>21</v>
      </c>
      <c r="G7" s="6">
        <v>1985</v>
      </c>
      <c r="H7" s="6"/>
      <c r="I7" s="6" t="s">
        <v>32</v>
      </c>
      <c r="J7" s="6" t="s">
        <v>97</v>
      </c>
      <c r="K7" s="6">
        <v>800</v>
      </c>
      <c r="L7" s="4" t="s">
        <v>30</v>
      </c>
      <c r="M7" s="6"/>
      <c r="N7" s="44">
        <f>_xlfn.XLOOKUP(M7,'Database utenti tesserati'!C7:C16,'Database utenti tesserati'!B7:B16)</f>
        <v>0</v>
      </c>
      <c r="O7" s="29"/>
      <c r="P7" s="29" t="str">
        <f t="shared" si="0"/>
        <v/>
      </c>
      <c r="Q7" s="6"/>
    </row>
    <row r="8" spans="1:18" x14ac:dyDescent="0.25">
      <c r="A8" s="3" t="s">
        <v>11</v>
      </c>
      <c r="B8" s="4" t="s">
        <v>18</v>
      </c>
      <c r="C8" s="4" t="s">
        <v>25</v>
      </c>
      <c r="D8" s="4">
        <v>8804662654</v>
      </c>
      <c r="E8" s="4">
        <v>391</v>
      </c>
      <c r="F8" s="4" t="s">
        <v>21</v>
      </c>
      <c r="G8" s="4">
        <v>2016</v>
      </c>
      <c r="H8" s="4"/>
      <c r="I8" s="4" t="s">
        <v>32</v>
      </c>
      <c r="J8" s="4" t="s">
        <v>98</v>
      </c>
      <c r="K8" s="4">
        <v>800</v>
      </c>
      <c r="L8" s="4" t="s">
        <v>30</v>
      </c>
      <c r="M8" s="4"/>
      <c r="N8" s="46">
        <f>_xlfn.XLOOKUP(M8,'Database utenti tesserati'!C8:C17,'Database utenti tesserati'!B8:B17)</f>
        <v>0</v>
      </c>
      <c r="O8" s="31"/>
      <c r="P8" s="45" t="str">
        <f t="shared" si="0"/>
        <v/>
      </c>
      <c r="Q8" s="4"/>
    </row>
    <row r="9" spans="1:18" x14ac:dyDescent="0.25">
      <c r="A9" s="5" t="s">
        <v>150</v>
      </c>
      <c r="B9" s="6" t="s">
        <v>19</v>
      </c>
      <c r="C9" s="6" t="s">
        <v>25</v>
      </c>
      <c r="D9" s="6">
        <v>8804744668</v>
      </c>
      <c r="E9" s="6">
        <v>522</v>
      </c>
      <c r="F9" s="6" t="s">
        <v>21</v>
      </c>
      <c r="G9" s="6">
        <v>2022</v>
      </c>
      <c r="H9" s="6"/>
      <c r="I9" s="6" t="s">
        <v>32</v>
      </c>
      <c r="J9" s="6" t="s">
        <v>99</v>
      </c>
      <c r="K9" s="6">
        <v>800</v>
      </c>
      <c r="L9" s="4" t="s">
        <v>24</v>
      </c>
      <c r="M9" s="6" t="s">
        <v>88</v>
      </c>
      <c r="N9" s="44" t="str">
        <f>_xlfn.XLOOKUP(M9,'Database utenti tesserati'!C9:C18,'Database utenti tesserati'!B9:B18)</f>
        <v>U00734</v>
      </c>
      <c r="O9" s="29">
        <v>45088</v>
      </c>
      <c r="P9" s="29">
        <f t="shared" si="0"/>
        <v>45118</v>
      </c>
      <c r="Q9" s="6" t="s">
        <v>114</v>
      </c>
    </row>
    <row r="10" spans="1:18" x14ac:dyDescent="0.25">
      <c r="A10" s="3" t="s">
        <v>12</v>
      </c>
      <c r="B10" s="4" t="s">
        <v>20</v>
      </c>
      <c r="C10" s="4" t="s">
        <v>29</v>
      </c>
      <c r="D10" s="4">
        <v>8850241712</v>
      </c>
      <c r="E10" s="4">
        <v>320</v>
      </c>
      <c r="F10" s="4" t="s">
        <v>21</v>
      </c>
      <c r="G10" s="4">
        <v>2015</v>
      </c>
      <c r="H10" s="4"/>
      <c r="I10" s="4" t="s">
        <v>32</v>
      </c>
      <c r="J10" s="4" t="s">
        <v>100</v>
      </c>
      <c r="K10" s="4">
        <v>800</v>
      </c>
      <c r="L10" s="4" t="s">
        <v>30</v>
      </c>
      <c r="M10" s="4"/>
      <c r="N10" s="46">
        <f>_xlfn.XLOOKUP(M10,'Database utenti tesserati'!C10:C19,'Database utenti tesserati'!B10:B19)</f>
        <v>0</v>
      </c>
      <c r="O10" s="31"/>
      <c r="P10" s="45" t="str">
        <f t="shared" si="0"/>
        <v/>
      </c>
      <c r="Q10" s="4"/>
    </row>
    <row r="12" spans="1:18" ht="15.75" thickBot="1" x14ac:dyDescent="0.3"/>
    <row r="13" spans="1:18" ht="15" customHeight="1" thickTop="1" x14ac:dyDescent="0.25">
      <c r="D13" s="19" t="s">
        <v>138</v>
      </c>
      <c r="E13" s="20"/>
      <c r="F13" s="20"/>
      <c r="G13" s="20"/>
      <c r="H13" s="20"/>
      <c r="I13" s="20"/>
      <c r="J13" s="21"/>
      <c r="N13" s="47" t="s">
        <v>152</v>
      </c>
      <c r="O13" s="47"/>
      <c r="P13" s="47"/>
      <c r="Q13" s="47"/>
      <c r="R13" s="47"/>
    </row>
    <row r="14" spans="1:18" x14ac:dyDescent="0.25">
      <c r="D14" s="22"/>
      <c r="E14" s="18"/>
      <c r="F14" s="18"/>
      <c r="G14" s="18"/>
      <c r="H14" s="18"/>
      <c r="I14" s="18"/>
      <c r="J14" s="23"/>
      <c r="N14" s="47"/>
      <c r="O14" s="47"/>
      <c r="P14" s="47"/>
      <c r="Q14" s="47"/>
      <c r="R14" s="47"/>
    </row>
    <row r="15" spans="1:18" x14ac:dyDescent="0.25">
      <c r="D15" s="22"/>
      <c r="E15" s="18"/>
      <c r="F15" s="18"/>
      <c r="G15" s="18"/>
      <c r="H15" s="18"/>
      <c r="I15" s="18"/>
      <c r="J15" s="23"/>
      <c r="M15" s="8"/>
      <c r="N15" s="47"/>
      <c r="O15" s="47"/>
      <c r="P15" s="47"/>
      <c r="Q15" s="47"/>
      <c r="R15" s="47"/>
    </row>
    <row r="16" spans="1:18" x14ac:dyDescent="0.25">
      <c r="D16" s="22"/>
      <c r="E16" s="18"/>
      <c r="F16" s="18"/>
      <c r="G16" s="18"/>
      <c r="H16" s="18"/>
      <c r="I16" s="18"/>
      <c r="J16" s="23"/>
      <c r="N16" s="47"/>
      <c r="O16" s="47"/>
      <c r="P16" s="47"/>
      <c r="Q16" s="47"/>
      <c r="R16" s="47"/>
    </row>
    <row r="17" spans="4:18" x14ac:dyDescent="0.25">
      <c r="D17" s="22"/>
      <c r="E17" s="18"/>
      <c r="F17" s="18"/>
      <c r="G17" s="18"/>
      <c r="H17" s="18"/>
      <c r="I17" s="18"/>
      <c r="J17" s="23"/>
      <c r="N17" s="47"/>
      <c r="O17" s="47"/>
      <c r="P17" s="47"/>
      <c r="Q17" s="47"/>
      <c r="R17" s="47"/>
    </row>
    <row r="18" spans="4:18" x14ac:dyDescent="0.25">
      <c r="D18" s="22"/>
      <c r="E18" s="18"/>
      <c r="F18" s="18"/>
      <c r="G18" s="18"/>
      <c r="H18" s="18"/>
      <c r="I18" s="18"/>
      <c r="J18" s="23"/>
      <c r="N18" s="47"/>
      <c r="O18" s="47"/>
      <c r="P18" s="47"/>
      <c r="Q18" s="47"/>
      <c r="R18" s="47"/>
    </row>
    <row r="19" spans="4:18" x14ac:dyDescent="0.25">
      <c r="D19" s="22"/>
      <c r="E19" s="18"/>
      <c r="F19" s="18"/>
      <c r="G19" s="18"/>
      <c r="H19" s="18"/>
      <c r="I19" s="18"/>
      <c r="J19" s="23"/>
      <c r="N19" s="47"/>
      <c r="O19" s="47"/>
      <c r="P19" s="47"/>
      <c r="Q19" s="47"/>
      <c r="R19" s="47"/>
    </row>
    <row r="20" spans="4:18" x14ac:dyDescent="0.25">
      <c r="D20" s="22"/>
      <c r="E20" s="18"/>
      <c r="F20" s="18"/>
      <c r="G20" s="18"/>
      <c r="H20" s="18"/>
      <c r="I20" s="18"/>
      <c r="J20" s="23"/>
      <c r="N20" s="47"/>
      <c r="O20" s="47"/>
      <c r="P20" s="47"/>
      <c r="Q20" s="47"/>
      <c r="R20" s="47"/>
    </row>
    <row r="21" spans="4:18" ht="15" customHeight="1" x14ac:dyDescent="0.25">
      <c r="D21" s="22" t="s">
        <v>151</v>
      </c>
      <c r="E21" s="18"/>
      <c r="F21" s="18"/>
      <c r="G21" s="18"/>
      <c r="H21" s="18"/>
      <c r="I21" s="18"/>
      <c r="J21" s="23"/>
    </row>
    <row r="22" spans="4:18" ht="15.75" customHeight="1" thickBot="1" x14ac:dyDescent="0.3">
      <c r="D22" s="24"/>
      <c r="E22" s="25"/>
      <c r="F22" s="25"/>
      <c r="G22" s="25"/>
      <c r="H22" s="25"/>
      <c r="I22" s="25"/>
      <c r="J22" s="26"/>
    </row>
    <row r="23" spans="4:18" ht="15.75" thickTop="1" x14ac:dyDescent="0.25"/>
  </sheetData>
  <autoFilter ref="A2:Q10" xr:uid="{F1C45579-DF09-4C27-A689-E7EE74A34479}"/>
  <mergeCells count="5">
    <mergeCell ref="D21:J22"/>
    <mergeCell ref="N13:R20"/>
    <mergeCell ref="A1:K1"/>
    <mergeCell ref="L1:Q1"/>
    <mergeCell ref="D13:J20"/>
  </mergeCells>
  <phoneticPr fontId="4" type="noConversion"/>
  <conditionalFormatting sqref="L3:M10">
    <cfRule type="containsText" dxfId="3" priority="1" operator="containsText" text="disponibile">
      <formula>NOT(ISERROR(SEARCH("disponibile",L3)))</formula>
    </cfRule>
    <cfRule type="containsText" dxfId="2" priority="2" operator="containsText" text="in prestito">
      <formula>NOT(ISERROR(SEARCH("in prestito",L3)))</formula>
    </cfRule>
    <cfRule type="colorScale" priority="3">
      <colorScale>
        <cfvo type="min"/>
        <cfvo type="percentile" val="50"/>
        <cfvo type="max"/>
        <color rgb="FFF8696B"/>
        <color rgb="FFFFEB84"/>
        <color rgb="FF63BE7B"/>
      </colorScale>
    </cfRule>
  </conditionalFormatting>
  <dataValidations count="1">
    <dataValidation type="list" allowBlank="1" showInputMessage="1" showErrorMessage="1" sqref="L3:L10" xr:uid="{46989F06-4F88-4EC4-BEE7-B0D9461E26AC}">
      <formula1>"disponibile, in prestito"</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5C8CD88-10BC-40D5-9CA2-058E59DFFFAE}">
          <x14:formula1>
            <xm:f>'Database dipendenti'!$B$3:$B$12</xm:f>
          </x14:formula1>
          <xm:sqref>Q3:Q10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246B0-6449-45A6-9F09-2BDA9441FFA6}">
  <dimension ref="B1:K7"/>
  <sheetViews>
    <sheetView tabSelected="1" topLeftCell="B1" workbookViewId="0">
      <selection activeCell="H13" sqref="H13"/>
    </sheetView>
  </sheetViews>
  <sheetFormatPr defaultRowHeight="15" x14ac:dyDescent="0.25"/>
  <cols>
    <col min="1" max="1" width="10.85546875" customWidth="1"/>
    <col min="2" max="2" width="31.42578125" bestFit="1" customWidth="1"/>
    <col min="3" max="3" width="18.5703125" customWidth="1"/>
    <col min="4" max="4" width="11" bestFit="1" customWidth="1"/>
    <col min="5" max="5" width="17.5703125" bestFit="1" customWidth="1"/>
    <col min="6" max="7" width="17.5703125" customWidth="1"/>
    <col min="8" max="8" width="18.42578125" bestFit="1" customWidth="1"/>
    <col min="9" max="10" width="12.42578125" bestFit="1" customWidth="1"/>
  </cols>
  <sheetData>
    <row r="1" spans="2:11" x14ac:dyDescent="0.25">
      <c r="J1" s="1"/>
    </row>
    <row r="4" spans="2:11" ht="15.75" thickBot="1" x14ac:dyDescent="0.3"/>
    <row r="5" spans="2:11" ht="18.75" x14ac:dyDescent="0.3">
      <c r="B5" s="39" t="s">
        <v>132</v>
      </c>
      <c r="C5" s="11"/>
      <c r="D5" s="11"/>
      <c r="E5" s="11"/>
      <c r="F5" s="11"/>
      <c r="G5" s="11"/>
      <c r="H5" s="11"/>
      <c r="I5" s="11"/>
      <c r="J5" s="12"/>
      <c r="K5" s="1"/>
    </row>
    <row r="6" spans="2:11" x14ac:dyDescent="0.25">
      <c r="B6" s="10" t="s">
        <v>133</v>
      </c>
      <c r="C6" s="9" t="s">
        <v>134</v>
      </c>
      <c r="D6" s="9" t="s">
        <v>135</v>
      </c>
      <c r="E6" s="9" t="s">
        <v>136</v>
      </c>
      <c r="F6" s="9" t="s">
        <v>153</v>
      </c>
      <c r="G6" s="9" t="s">
        <v>154</v>
      </c>
      <c r="H6" s="9" t="s">
        <v>137</v>
      </c>
      <c r="I6" s="9" t="s">
        <v>92</v>
      </c>
      <c r="J6" s="40" t="s">
        <v>23</v>
      </c>
    </row>
    <row r="7" spans="2:11" ht="15.75" thickBot="1" x14ac:dyDescent="0.3">
      <c r="B7" s="43" t="s">
        <v>10</v>
      </c>
      <c r="C7" s="41" t="str">
        <f>_xlfn.XLOOKUP(B7,'Catalogo &amp; Registro'!A:A,'Catalogo &amp; Registro'!B:B,"il libro non è presente in catalogo")</f>
        <v>Paolo Giordano</v>
      </c>
      <c r="D7" s="41" t="str">
        <f>_xlfn.XLOOKUP(B7,'Catalogo &amp; Registro'!A:A,'Catalogo &amp; Registro'!F:F,"il libro non è presente in catalogo")</f>
        <v>Italiano</v>
      </c>
      <c r="E7" s="41" t="str">
        <f>_xlfn.XLOOKUP(B7,'Catalogo &amp; Registro'!A:A,'Catalogo &amp; Registro'!L:L)</f>
        <v>disponibile</v>
      </c>
      <c r="F7" s="50">
        <f>_xlfn.XLOOKUP(B7,'Catalogo &amp; Registro'!A3:A10,'Catalogo &amp; Registro'!O3:O10)</f>
        <v>0</v>
      </c>
      <c r="G7" s="50" t="str">
        <f>_xlfn.XLOOKUP(B7,'Catalogo &amp; Registro'!A3:A10,'Catalogo &amp; Registro'!P3:P10)</f>
        <v/>
      </c>
      <c r="H7" s="41">
        <f>_xlfn.XLOOKUP(B7,'Catalogo &amp; Registro'!A:A,'Catalogo &amp; Registro'!K:K)</f>
        <v>800</v>
      </c>
      <c r="I7" s="41" t="str">
        <f>_xlfn.XLOOKUP(B7,'Catalogo &amp; Registro'!A:A,'Catalogo &amp; Registro'!J:J)</f>
        <v>4A</v>
      </c>
      <c r="J7" s="42" t="str">
        <f>_xlfn.XLOOKUP(B7,'Catalogo &amp; Registro'!A3:A10,'Catalogo &amp; Registro'!I3:I10)</f>
        <v>16+</v>
      </c>
    </row>
  </sheetData>
  <mergeCells count="1">
    <mergeCell ref="B5:J5"/>
  </mergeCells>
  <conditionalFormatting sqref="E7:G7">
    <cfRule type="containsText" dxfId="1" priority="1" operator="containsText" text="disponibile">
      <formula>NOT(ISERROR(SEARCH("disponibile",E7)))</formula>
    </cfRule>
    <cfRule type="containsText" dxfId="0" priority="2" operator="containsText" text="in prestito">
      <formula>NOT(ISERROR(SEARCH("in prestito",E7)))</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42410BE-3C97-4208-BAEE-339638835BBF}">
          <x14:formula1>
            <xm:f>'Catalogo &amp; Registro'!$A$3:$A$10</xm:f>
          </x14:formula1>
          <xm:sqref>B7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45FA-3DAD-4F0E-89CD-04AFCDBFBBE6}">
  <dimension ref="A1:H16"/>
  <sheetViews>
    <sheetView workbookViewId="0">
      <selection activeCell="G3" sqref="G3"/>
    </sheetView>
  </sheetViews>
  <sheetFormatPr defaultRowHeight="15" x14ac:dyDescent="0.25"/>
  <cols>
    <col min="1" max="1" width="18.28515625" bestFit="1" customWidth="1"/>
    <col min="3" max="3" width="19.85546875" bestFit="1" customWidth="1"/>
    <col min="4" max="4" width="13.7109375" bestFit="1" customWidth="1"/>
    <col min="5" max="5" width="14" bestFit="1" customWidth="1"/>
    <col min="6" max="6" width="27.140625" bestFit="1" customWidth="1"/>
    <col min="7" max="7" width="18.140625" bestFit="1" customWidth="1"/>
  </cols>
  <sheetData>
    <row r="1" spans="1:8" ht="18.75" x14ac:dyDescent="0.3">
      <c r="A1" s="27" t="s">
        <v>130</v>
      </c>
      <c r="B1" s="27"/>
      <c r="C1" s="27"/>
      <c r="D1" s="27"/>
      <c r="E1" s="27"/>
      <c r="F1" s="27"/>
      <c r="G1" s="27"/>
    </row>
    <row r="2" spans="1:8" s="33" customFormat="1" x14ac:dyDescent="0.25">
      <c r="A2" s="28" t="s">
        <v>55</v>
      </c>
      <c r="B2" s="28" t="s">
        <v>56</v>
      </c>
      <c r="C2" s="28" t="s">
        <v>60</v>
      </c>
      <c r="D2" s="28" t="s">
        <v>57</v>
      </c>
      <c r="E2" s="28" t="s">
        <v>58</v>
      </c>
      <c r="F2" s="28" t="s">
        <v>59</v>
      </c>
      <c r="G2" s="28" t="s">
        <v>61</v>
      </c>
      <c r="H2" s="35"/>
    </row>
    <row r="3" spans="1:8" s="34" customFormat="1" x14ac:dyDescent="0.25">
      <c r="A3" s="6" t="s">
        <v>34</v>
      </c>
      <c r="B3" s="6" t="s">
        <v>54</v>
      </c>
      <c r="C3" s="6" t="s">
        <v>72</v>
      </c>
      <c r="D3" s="29">
        <v>29221</v>
      </c>
      <c r="E3" s="6" t="s">
        <v>75</v>
      </c>
      <c r="F3" s="30" t="s">
        <v>62</v>
      </c>
      <c r="G3" s="6">
        <v>3334567298</v>
      </c>
      <c r="H3" s="36"/>
    </row>
    <row r="4" spans="1:8" s="33" customFormat="1" x14ac:dyDescent="0.25">
      <c r="A4" s="4" t="s">
        <v>35</v>
      </c>
      <c r="B4" s="4" t="s">
        <v>53</v>
      </c>
      <c r="C4" s="4" t="s">
        <v>73</v>
      </c>
      <c r="D4" s="31">
        <v>34825</v>
      </c>
      <c r="E4" s="4" t="s">
        <v>76</v>
      </c>
      <c r="F4" s="32" t="s">
        <v>63</v>
      </c>
      <c r="G4" s="4">
        <v>3492220945</v>
      </c>
      <c r="H4" s="35"/>
    </row>
    <row r="5" spans="1:8" s="33" customFormat="1" x14ac:dyDescent="0.25">
      <c r="A5" s="6" t="s">
        <v>36</v>
      </c>
      <c r="B5" s="6" t="s">
        <v>45</v>
      </c>
      <c r="C5" s="6" t="s">
        <v>74</v>
      </c>
      <c r="D5" s="29">
        <v>32911</v>
      </c>
      <c r="E5" s="6" t="s">
        <v>77</v>
      </c>
      <c r="F5" s="30" t="s">
        <v>64</v>
      </c>
      <c r="G5" s="6">
        <v>3297340122</v>
      </c>
      <c r="H5" s="35"/>
    </row>
    <row r="6" spans="1:8" s="33" customFormat="1" x14ac:dyDescent="0.25">
      <c r="A6" s="4" t="s">
        <v>37</v>
      </c>
      <c r="B6" s="4" t="s">
        <v>46</v>
      </c>
      <c r="C6" s="4" t="s">
        <v>85</v>
      </c>
      <c r="D6" s="31">
        <v>30844</v>
      </c>
      <c r="E6" s="4" t="s">
        <v>78</v>
      </c>
      <c r="F6" s="32" t="s">
        <v>65</v>
      </c>
      <c r="G6" s="4">
        <v>3385612123</v>
      </c>
      <c r="H6" s="35"/>
    </row>
    <row r="7" spans="1:8" s="33" customFormat="1" x14ac:dyDescent="0.25">
      <c r="A7" s="6" t="s">
        <v>38</v>
      </c>
      <c r="B7" s="6" t="s">
        <v>47</v>
      </c>
      <c r="C7" s="6" t="s">
        <v>86</v>
      </c>
      <c r="D7" s="29">
        <v>34271</v>
      </c>
      <c r="E7" s="6" t="s">
        <v>79</v>
      </c>
      <c r="F7" s="30" t="s">
        <v>66</v>
      </c>
      <c r="G7" s="6">
        <v>3319002357</v>
      </c>
      <c r="H7" s="35"/>
    </row>
    <row r="8" spans="1:8" x14ac:dyDescent="0.25">
      <c r="A8" s="4" t="s">
        <v>39</v>
      </c>
      <c r="B8" s="4" t="s">
        <v>48</v>
      </c>
      <c r="C8" s="4" t="s">
        <v>87</v>
      </c>
      <c r="D8" s="31">
        <v>36991</v>
      </c>
      <c r="E8" s="4" t="s">
        <v>80</v>
      </c>
      <c r="F8" s="32" t="s">
        <v>67</v>
      </c>
      <c r="G8" s="4">
        <v>3236572398</v>
      </c>
    </row>
    <row r="9" spans="1:8" x14ac:dyDescent="0.25">
      <c r="A9" s="6" t="s">
        <v>40</v>
      </c>
      <c r="B9" s="6" t="s">
        <v>49</v>
      </c>
      <c r="C9" s="6" t="s">
        <v>88</v>
      </c>
      <c r="D9" s="29">
        <v>32402</v>
      </c>
      <c r="E9" s="6" t="s">
        <v>81</v>
      </c>
      <c r="F9" s="30" t="s">
        <v>68</v>
      </c>
      <c r="G9" s="6">
        <v>3355873450</v>
      </c>
    </row>
    <row r="10" spans="1:8" x14ac:dyDescent="0.25">
      <c r="A10" s="4" t="s">
        <v>41</v>
      </c>
      <c r="B10" s="4" t="s">
        <v>50</v>
      </c>
      <c r="C10" s="4" t="s">
        <v>89</v>
      </c>
      <c r="D10" s="31">
        <v>38954</v>
      </c>
      <c r="E10" s="4" t="s">
        <v>82</v>
      </c>
      <c r="F10" s="32" t="s">
        <v>69</v>
      </c>
      <c r="G10" s="4">
        <v>3293409857</v>
      </c>
    </row>
    <row r="11" spans="1:8" x14ac:dyDescent="0.25">
      <c r="A11" s="6" t="s">
        <v>43</v>
      </c>
      <c r="B11" s="6" t="s">
        <v>51</v>
      </c>
      <c r="C11" s="6" t="s">
        <v>90</v>
      </c>
      <c r="D11" s="29">
        <v>33551</v>
      </c>
      <c r="E11" s="6" t="s">
        <v>83</v>
      </c>
      <c r="F11" s="30" t="s">
        <v>70</v>
      </c>
      <c r="G11" s="6">
        <v>3332347609</v>
      </c>
    </row>
    <row r="12" spans="1:8" x14ac:dyDescent="0.25">
      <c r="A12" s="4" t="s">
        <v>44</v>
      </c>
      <c r="B12" s="4" t="s">
        <v>52</v>
      </c>
      <c r="C12" s="4" t="s">
        <v>91</v>
      </c>
      <c r="D12" s="31">
        <v>36495</v>
      </c>
      <c r="E12" s="4" t="s">
        <v>84</v>
      </c>
      <c r="F12" s="32" t="s">
        <v>71</v>
      </c>
      <c r="G12" s="4">
        <v>3927774782</v>
      </c>
    </row>
    <row r="14" spans="1:8" x14ac:dyDescent="0.25">
      <c r="A14" s="47" t="s">
        <v>146</v>
      </c>
      <c r="B14" s="47"/>
      <c r="C14" s="47"/>
      <c r="D14" s="47"/>
      <c r="E14" s="47"/>
      <c r="F14" s="47"/>
      <c r="G14" s="47"/>
    </row>
    <row r="15" spans="1:8" x14ac:dyDescent="0.25">
      <c r="A15" s="47"/>
      <c r="B15" s="47"/>
      <c r="C15" s="47"/>
      <c r="D15" s="47"/>
      <c r="E15" s="47"/>
      <c r="F15" s="47"/>
      <c r="G15" s="47"/>
    </row>
    <row r="16" spans="1:8" x14ac:dyDescent="0.25">
      <c r="A16" s="47"/>
      <c r="B16" s="47"/>
      <c r="C16" s="47"/>
      <c r="D16" s="47"/>
      <c r="E16" s="47"/>
      <c r="F16" s="47"/>
      <c r="G16" s="47"/>
    </row>
  </sheetData>
  <autoFilter ref="A2:G12" xr:uid="{B6C745FA-3DAD-4F0E-89CD-04AFCDBFBBE6}"/>
  <mergeCells count="2">
    <mergeCell ref="A1:G1"/>
    <mergeCell ref="A14:G16"/>
  </mergeCells>
  <phoneticPr fontId="4" type="noConversion"/>
  <hyperlinks>
    <hyperlink ref="F3" r:id="rId1" xr:uid="{6548B374-1A41-4E64-B220-AD6A20306C24}"/>
    <hyperlink ref="F4" r:id="rId2" xr:uid="{1E5A1451-21E0-4277-BCE7-1D67357BE9E8}"/>
    <hyperlink ref="F5" r:id="rId3" xr:uid="{A970FC7B-A404-4A78-ACA2-AF4EBD0DCE4C}"/>
    <hyperlink ref="F6" r:id="rId4" xr:uid="{69C03210-69F2-4268-9500-97C17882E668}"/>
    <hyperlink ref="F7" r:id="rId5" xr:uid="{67437686-A4B4-4688-A089-382C96672C5A}"/>
    <hyperlink ref="F8" r:id="rId6" xr:uid="{E82D4B22-90AD-4845-9032-2004D29EF0B7}"/>
    <hyperlink ref="F9" r:id="rId7" xr:uid="{011BE97B-38BB-4AC1-8A57-D3B67B6EFF59}"/>
    <hyperlink ref="F10" r:id="rId8" xr:uid="{0B0963B1-B0E2-4FDB-B25D-35081694BC32}"/>
    <hyperlink ref="F11" r:id="rId9" xr:uid="{24045EE5-90FA-4375-9981-D900ACC87B1C}"/>
    <hyperlink ref="F12" r:id="rId10" xr:uid="{621F49A2-EC95-42FC-AB96-0710B0B9CF92}"/>
  </hyperlinks>
  <pageMargins left="0.7" right="0.7" top="0.75" bottom="0.75" header="0.3" footer="0.3"/>
  <pageSetup paperSize="9" orientation="portrait" r:id="rId11"/>
  <legacy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C5A5A-0C6E-47D2-AB93-89F03376A11E}">
  <dimension ref="A1:G12"/>
  <sheetViews>
    <sheetView topLeftCell="A3" workbookViewId="0">
      <selection activeCell="J11" sqref="J11"/>
    </sheetView>
  </sheetViews>
  <sheetFormatPr defaultRowHeight="15" x14ac:dyDescent="0.25"/>
  <cols>
    <col min="1" max="1" width="16.42578125" bestFit="1" customWidth="1"/>
    <col min="2" max="2" width="19.5703125" bestFit="1" customWidth="1"/>
    <col min="3" max="3" width="19.85546875" bestFit="1" customWidth="1"/>
    <col min="4" max="4" width="13.7109375" bestFit="1" customWidth="1"/>
    <col min="5" max="5" width="14" bestFit="1" customWidth="1"/>
    <col min="6" max="6" width="27.140625" bestFit="1" customWidth="1"/>
    <col min="7" max="7" width="18.140625" bestFit="1" customWidth="1"/>
  </cols>
  <sheetData>
    <row r="1" spans="1:7" ht="18.75" x14ac:dyDescent="0.3">
      <c r="A1" s="37" t="s">
        <v>131</v>
      </c>
      <c r="B1" s="37"/>
      <c r="C1" s="37"/>
      <c r="D1" s="37"/>
      <c r="E1" s="37"/>
      <c r="F1" s="37"/>
      <c r="G1" s="37"/>
    </row>
    <row r="2" spans="1:7" s="17" customFormat="1" x14ac:dyDescent="0.25">
      <c r="A2" s="38" t="s">
        <v>55</v>
      </c>
      <c r="B2" s="38" t="s">
        <v>56</v>
      </c>
      <c r="C2" s="38" t="s">
        <v>60</v>
      </c>
      <c r="D2" s="38" t="s">
        <v>57</v>
      </c>
      <c r="E2" s="38" t="s">
        <v>58</v>
      </c>
      <c r="F2" s="38" t="s">
        <v>59</v>
      </c>
      <c r="G2" s="38" t="s">
        <v>61</v>
      </c>
    </row>
    <row r="3" spans="1:7" x14ac:dyDescent="0.25">
      <c r="A3" s="6" t="s">
        <v>101</v>
      </c>
      <c r="B3" s="6" t="s">
        <v>110</v>
      </c>
      <c r="C3" s="6" t="s">
        <v>72</v>
      </c>
      <c r="D3" s="29">
        <v>29221</v>
      </c>
      <c r="E3" s="6" t="s">
        <v>75</v>
      </c>
      <c r="F3" s="30" t="s">
        <v>120</v>
      </c>
      <c r="G3" s="6">
        <v>3334567298</v>
      </c>
    </row>
    <row r="4" spans="1:7" x14ac:dyDescent="0.25">
      <c r="A4" s="4" t="s">
        <v>102</v>
      </c>
      <c r="B4" s="4" t="s">
        <v>111</v>
      </c>
      <c r="C4" s="4" t="s">
        <v>73</v>
      </c>
      <c r="D4" s="31">
        <v>34825</v>
      </c>
      <c r="E4" s="4" t="s">
        <v>76</v>
      </c>
      <c r="F4" s="32" t="s">
        <v>121</v>
      </c>
      <c r="G4" s="4">
        <v>3492220945</v>
      </c>
    </row>
    <row r="5" spans="1:7" x14ac:dyDescent="0.25">
      <c r="A5" s="6" t="s">
        <v>103</v>
      </c>
      <c r="B5" s="6" t="s">
        <v>112</v>
      </c>
      <c r="C5" s="6" t="s">
        <v>74</v>
      </c>
      <c r="D5" s="29">
        <v>32911</v>
      </c>
      <c r="E5" s="6" t="s">
        <v>77</v>
      </c>
      <c r="F5" s="30" t="s">
        <v>122</v>
      </c>
      <c r="G5" s="6">
        <v>3297340122</v>
      </c>
    </row>
    <row r="6" spans="1:7" x14ac:dyDescent="0.25">
      <c r="A6" s="4" t="s">
        <v>104</v>
      </c>
      <c r="B6" s="4" t="s">
        <v>113</v>
      </c>
      <c r="C6" s="4" t="s">
        <v>85</v>
      </c>
      <c r="D6" s="31">
        <v>30844</v>
      </c>
      <c r="E6" s="4" t="s">
        <v>78</v>
      </c>
      <c r="F6" s="32" t="s">
        <v>123</v>
      </c>
      <c r="G6" s="4">
        <v>3385612123</v>
      </c>
    </row>
    <row r="7" spans="1:7" x14ac:dyDescent="0.25">
      <c r="A7" s="6" t="s">
        <v>105</v>
      </c>
      <c r="B7" s="6" t="s">
        <v>114</v>
      </c>
      <c r="C7" s="6" t="s">
        <v>86</v>
      </c>
      <c r="D7" s="29">
        <v>34271</v>
      </c>
      <c r="E7" s="6" t="s">
        <v>79</v>
      </c>
      <c r="F7" s="30" t="s">
        <v>124</v>
      </c>
      <c r="G7" s="6">
        <v>3319002357</v>
      </c>
    </row>
    <row r="8" spans="1:7" x14ac:dyDescent="0.25">
      <c r="A8" s="4" t="s">
        <v>106</v>
      </c>
      <c r="B8" s="4" t="s">
        <v>115</v>
      </c>
      <c r="C8" s="4" t="s">
        <v>87</v>
      </c>
      <c r="D8" s="31">
        <v>36991</v>
      </c>
      <c r="E8" s="4" t="s">
        <v>80</v>
      </c>
      <c r="F8" s="32" t="s">
        <v>125</v>
      </c>
      <c r="G8" s="4">
        <v>3236572398</v>
      </c>
    </row>
    <row r="9" spans="1:7" x14ac:dyDescent="0.25">
      <c r="A9" s="6" t="s">
        <v>41</v>
      </c>
      <c r="B9" s="6" t="s">
        <v>116</v>
      </c>
      <c r="C9" s="6" t="s">
        <v>88</v>
      </c>
      <c r="D9" s="29">
        <v>32402</v>
      </c>
      <c r="E9" s="6" t="s">
        <v>81</v>
      </c>
      <c r="F9" s="30" t="s">
        <v>126</v>
      </c>
      <c r="G9" s="6">
        <v>3355873450</v>
      </c>
    </row>
    <row r="10" spans="1:7" x14ac:dyDescent="0.25">
      <c r="A10" s="4" t="s">
        <v>107</v>
      </c>
      <c r="B10" s="4" t="s">
        <v>117</v>
      </c>
      <c r="C10" s="4" t="s">
        <v>89</v>
      </c>
      <c r="D10" s="31">
        <v>38954</v>
      </c>
      <c r="E10" s="4" t="s">
        <v>82</v>
      </c>
      <c r="F10" s="32" t="s">
        <v>127</v>
      </c>
      <c r="G10" s="4">
        <v>3293409857</v>
      </c>
    </row>
    <row r="11" spans="1:7" x14ac:dyDescent="0.25">
      <c r="A11" s="6" t="s">
        <v>108</v>
      </c>
      <c r="B11" s="6" t="s">
        <v>118</v>
      </c>
      <c r="C11" s="6" t="s">
        <v>90</v>
      </c>
      <c r="D11" s="29">
        <v>33551</v>
      </c>
      <c r="E11" s="6" t="s">
        <v>83</v>
      </c>
      <c r="F11" s="30" t="s">
        <v>128</v>
      </c>
      <c r="G11" s="6">
        <v>3332347609</v>
      </c>
    </row>
    <row r="12" spans="1:7" x14ac:dyDescent="0.25">
      <c r="A12" s="4" t="s">
        <v>109</v>
      </c>
      <c r="B12" s="4" t="s">
        <v>119</v>
      </c>
      <c r="C12" s="4" t="s">
        <v>91</v>
      </c>
      <c r="D12" s="31">
        <v>36495</v>
      </c>
      <c r="E12" s="4" t="s">
        <v>84</v>
      </c>
      <c r="F12" s="32" t="s">
        <v>129</v>
      </c>
      <c r="G12" s="4">
        <v>3927774782</v>
      </c>
    </row>
  </sheetData>
  <autoFilter ref="A2:G12" xr:uid="{DC5C5A5A-0C6E-47D2-AB93-89F03376A11E}"/>
  <mergeCells count="1">
    <mergeCell ref="A1:G1"/>
  </mergeCells>
  <hyperlinks>
    <hyperlink ref="F3" r:id="rId1" xr:uid="{E9415742-CE56-4053-8558-1F95BA31A075}"/>
    <hyperlink ref="F4" r:id="rId2" xr:uid="{669D8100-B2AA-4FA9-9405-4341FD05394B}"/>
    <hyperlink ref="F5" r:id="rId3" xr:uid="{B8F204AB-5460-4070-AF5D-4E62869E4CE4}"/>
    <hyperlink ref="F6" r:id="rId4" xr:uid="{19DAE341-4821-48C6-A770-7C011F3AE650}"/>
    <hyperlink ref="F7" r:id="rId5" xr:uid="{A9D42E64-F2FE-4B9F-95C3-33CA9AEE9189}"/>
    <hyperlink ref="F8" r:id="rId6" xr:uid="{44DDB221-429E-4C7B-83E7-12A0193A1B6A}"/>
    <hyperlink ref="F9" r:id="rId7" xr:uid="{DFBA5871-6BA2-4CCF-B1E1-64DAE184D44C}"/>
    <hyperlink ref="F10" r:id="rId8" xr:uid="{48ECF4C4-D199-49AC-97DE-21A971DC32CA}"/>
    <hyperlink ref="F11" r:id="rId9" xr:uid="{08F0B59C-1EFA-4A4E-A9E0-ED167A05505E}"/>
    <hyperlink ref="F12" r:id="rId10" xr:uid="{9AEB88CA-E98B-4DBE-AE47-E75C5810EB8A}"/>
  </hyperlinks>
  <pageMargins left="0.7" right="0.7" top="0.75" bottom="0.75" header="0.3" footer="0.3"/>
  <pageSetup paperSize="9" orientation="portrait"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195CDD84013E548B62F0F6E458215CF" ma:contentTypeVersion="9" ma:contentTypeDescription="Creare un nuovo documento." ma:contentTypeScope="" ma:versionID="53e9fe5c6aad28abdc0f5801010a0006">
  <xsd:schema xmlns:xsd="http://www.w3.org/2001/XMLSchema" xmlns:xs="http://www.w3.org/2001/XMLSchema" xmlns:p="http://schemas.microsoft.com/office/2006/metadata/properties" xmlns:ns3="7d9d0fbf-50e5-441f-ba0b-da43101915d8" targetNamespace="http://schemas.microsoft.com/office/2006/metadata/properties" ma:root="true" ma:fieldsID="8d7c6b44030238125ea1106c5edc5b7e" ns3:_="">
    <xsd:import namespace="7d9d0fbf-50e5-441f-ba0b-da43101915d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9d0fbf-50e5-441f-ba0b-da43101915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C7C34F1-596F-4C24-8E49-91F99D960F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9d0fbf-50e5-441f-ba0b-da43101915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C9B5757-407E-4A4A-8B6F-4F87C54F951C}">
  <ds:schemaRefs>
    <ds:schemaRef ds:uri="http://schemas.microsoft.com/sharepoint/v3/contenttype/forms"/>
  </ds:schemaRefs>
</ds:datastoreItem>
</file>

<file path=customXml/itemProps3.xml><?xml version="1.0" encoding="utf-8"?>
<ds:datastoreItem xmlns:ds="http://schemas.openxmlformats.org/officeDocument/2006/customXml" ds:itemID="{EBD96C28-271C-4B23-922E-3A4CED0C71E6}">
  <ds:schemaRefs>
    <ds:schemaRef ds:uri="http://schemas.microsoft.com/office/infopath/2007/PartnerControls"/>
    <ds:schemaRef ds:uri="http://purl.org/dc/elements/1.1/"/>
    <ds:schemaRef ds:uri="http://www.w3.org/XML/1998/namespace"/>
    <ds:schemaRef ds:uri="http://schemas.microsoft.com/office/2006/metadata/properties"/>
    <ds:schemaRef ds:uri="7d9d0fbf-50e5-441f-ba0b-da43101915d8"/>
    <ds:schemaRef ds:uri="http://schemas.microsoft.com/office/2006/documentManagement/types"/>
    <ds:schemaRef ds:uri="http://schemas.openxmlformats.org/package/2006/metadata/core-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Catalogo &amp; Registro</vt:lpstr>
      <vt:lpstr>Ricerca per titolo</vt:lpstr>
      <vt:lpstr>Database utenti tesserati</vt:lpstr>
      <vt:lpstr>Database dipendenti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Laura Pollio</dc:creator>
  <cp:lastModifiedBy>Maria Laura Pollio</cp:lastModifiedBy>
  <dcterms:created xsi:type="dcterms:W3CDTF">2023-06-17T10:29:56Z</dcterms:created>
  <dcterms:modified xsi:type="dcterms:W3CDTF">2023-06-19T12:00:05Z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0x010100C195CDD84013E548B62F0F6E458215CF</vt:lpwstr>
  </property>
</Properties>
</file>